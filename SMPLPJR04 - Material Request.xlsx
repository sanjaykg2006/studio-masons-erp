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tudiomasons-my.sharepoint.com/personal/sivaraj_studio-masons_com/Documents/Sivaraj/Office/Projects region wise/Sivaraj role/ISO formats/15-10-2025 - Stage 2/Projects/Indegene 10th floor/"/>
    </mc:Choice>
  </mc:AlternateContent>
  <xr:revisionPtr revIDLastSave="178" documentId="13_ncr:1_{15E9350C-1DB0-4BCE-A2E4-FB67CEF42355}" xr6:coauthVersionLast="47" xr6:coauthVersionMax="47" xr10:uidLastSave="{140248D7-949B-458E-B33F-FA3ED45FB7F9}"/>
  <bookViews>
    <workbookView xWindow="-120" yWindow="-120" windowWidth="20730" windowHeight="11040" xr2:uid="{00000000-000D-0000-FFFF-FFFF00000000}"/>
  </bookViews>
  <sheets>
    <sheet name="INDEGENE 10th FLOOR " sheetId="1" r:id="rId1"/>
    <sheet name="Sheet2" sheetId="2" state="hidden" r:id="rId2"/>
  </sheets>
  <definedNames>
    <definedName name="_xlnm._FilterDatabase" localSheetId="0" hidden="1">'INDEGENE 10th FLOOR '!$A$5:$O$43</definedName>
    <definedName name="_xlnm.Print_Area" localSheetId="0">'INDEGENE 10th FLOOR '!$A$1:$O$49</definedName>
    <definedName name="_xlnm.Print_Titles" localSheetId="0">'INDEGENE 10th FLOOR 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1" l="1"/>
  <c r="N42" i="1"/>
  <c r="N41" i="1"/>
  <c r="A7" i="1" l="1"/>
  <c r="A8" i="1" s="1"/>
  <c r="A9" i="1" s="1"/>
  <c r="A10" i="1" s="1"/>
  <c r="A11" i="1" s="1"/>
  <c r="A12" i="1" s="1"/>
  <c r="A13" i="1" s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6" i="2"/>
  <c r="A7" i="2" s="1"/>
  <c r="A8" i="2" s="1"/>
  <c r="A9" i="2" s="1"/>
  <c r="A10" i="2" s="1"/>
  <c r="A11" i="2" s="1"/>
  <c r="A12" i="2" s="1"/>
  <c r="A13" i="2" s="1"/>
  <c r="A14" i="2" s="1"/>
  <c r="A15" i="2" s="1"/>
  <c r="A41" i="1" l="1"/>
  <c r="A42" i="1" s="1"/>
  <c r="A43" i="1" s="1"/>
</calcChain>
</file>

<file path=xl/sharedStrings.xml><?xml version="1.0" encoding="utf-8"?>
<sst xmlns="http://schemas.openxmlformats.org/spreadsheetml/2006/main" count="458" uniqueCount="168">
  <si>
    <t>Material Request</t>
  </si>
  <si>
    <t xml:space="preserve">Project name:     </t>
  </si>
  <si>
    <t xml:space="preserve">INDEGENE 10TH FLOOR </t>
  </si>
  <si>
    <t>Location:</t>
  </si>
  <si>
    <t xml:space="preserve">MTP </t>
  </si>
  <si>
    <t xml:space="preserve">Nature of work / Scope: </t>
  </si>
  <si>
    <t xml:space="preserve">DESIGN &amp; BUILD COMMERCIAL FITOUT </t>
  </si>
  <si>
    <t>S.NO</t>
  </si>
  <si>
    <t>ORDER REQUEST DATE</t>
  </si>
  <si>
    <t xml:space="preserve">MATRL DESC </t>
  </si>
  <si>
    <t>BRAND/SPEC</t>
  </si>
  <si>
    <t>UNIT</t>
  </si>
  <si>
    <t>INDENT QTY</t>
  </si>
  <si>
    <t>REQUIRED  DATE</t>
  </si>
  <si>
    <t>PO STATUS</t>
  </si>
  <si>
    <t>SUPPLIER NAME</t>
  </si>
  <si>
    <t>ORDER QTY</t>
  </si>
  <si>
    <t>RECEIVED QTY</t>
  </si>
  <si>
    <t>RECEIVED DATE</t>
  </si>
  <si>
    <t>BALANCE QTY</t>
  </si>
  <si>
    <t>REMARKS</t>
  </si>
  <si>
    <t>01.9.2025</t>
  </si>
  <si>
    <t>Supply of Safety Material</t>
  </si>
  <si>
    <t xml:space="preserve">SMPL regular </t>
  </si>
  <si>
    <t>LS.</t>
  </si>
  <si>
    <t>06.9.2025</t>
  </si>
  <si>
    <t>closed</t>
  </si>
  <si>
    <t xml:space="preserve">Indo Trade </t>
  </si>
  <si>
    <t>05.9.2025</t>
  </si>
  <si>
    <t xml:space="preserve">Rental of Scaffolding </t>
  </si>
  <si>
    <t>13.9.2025</t>
  </si>
  <si>
    <t>Sri Garuda Facility Services</t>
  </si>
  <si>
    <t>12.9.2025</t>
  </si>
  <si>
    <t>Supply of Manpower</t>
  </si>
  <si>
    <t>Months</t>
  </si>
  <si>
    <t>I Security</t>
  </si>
  <si>
    <t>Supply of Aluminium Pipe</t>
  </si>
  <si>
    <t>JINDAL</t>
  </si>
  <si>
    <t>Nos</t>
  </si>
  <si>
    <t>20.9.2025</t>
  </si>
  <si>
    <t>Indian Gypsum</t>
  </si>
  <si>
    <t>19.9.2025</t>
  </si>
  <si>
    <t>Supply Of Labors</t>
  </si>
  <si>
    <t>Prakash</t>
  </si>
  <si>
    <t>18.9.2025</t>
  </si>
  <si>
    <t>Supply Of Machinerys</t>
  </si>
  <si>
    <t xml:space="preserve">Sri Vigneshwara Enterprises </t>
  </si>
  <si>
    <t>15.9.2025</t>
  </si>
  <si>
    <t>Supply  of plywood</t>
  </si>
  <si>
    <t>Archid , As per approved quote</t>
  </si>
  <si>
    <t>21.9.2025</t>
  </si>
  <si>
    <t>Dev Bajaj Glass &amp; Plywoods</t>
  </si>
  <si>
    <t>16.9.2025</t>
  </si>
  <si>
    <t>Supply of  Hardware materials</t>
  </si>
  <si>
    <t>Samrudhi Enterprises</t>
  </si>
  <si>
    <t>Supply of  civil Materials</t>
  </si>
  <si>
    <t>Mamta Enterprises</t>
  </si>
  <si>
    <t>Supply of Fire door</t>
  </si>
  <si>
    <t>As per approved quote</t>
  </si>
  <si>
    <t>SPD Techical Solutions</t>
  </si>
  <si>
    <t>Debris Removal</t>
  </si>
  <si>
    <t>Moulali J.</t>
  </si>
  <si>
    <t>Supply of Water Can</t>
  </si>
  <si>
    <t>SKS Enterprises</t>
  </si>
  <si>
    <t>Supply of Tiles</t>
  </si>
  <si>
    <t>As per BOQ</t>
  </si>
  <si>
    <t>25.9.2025</t>
  </si>
  <si>
    <t>Rachana Ceramics</t>
  </si>
  <si>
    <t>Supply-Aluminium Channel</t>
  </si>
  <si>
    <t>Mallco</t>
  </si>
  <si>
    <t>22.9.2025</t>
  </si>
  <si>
    <t>Supply of Light Fixtures</t>
  </si>
  <si>
    <t>06.11.2025</t>
  </si>
  <si>
    <t>Magtik Bharth P Ltd</t>
  </si>
  <si>
    <t>Yet to deliver</t>
  </si>
  <si>
    <t xml:space="preserve">Supply of Carpet </t>
  </si>
  <si>
    <t>27.9.2025</t>
  </si>
  <si>
    <t xml:space="preserve">Interior Elements </t>
  </si>
  <si>
    <t>Supply of Chairs</t>
  </si>
  <si>
    <t>HNI Office India Ltd</t>
  </si>
  <si>
    <t>Supply of Light Fitings</t>
  </si>
  <si>
    <t>Vanita Lamp &amp; Shades</t>
  </si>
  <si>
    <t>24.9.2025</t>
  </si>
  <si>
    <t xml:space="preserve">Supply Of Thick Membrane </t>
  </si>
  <si>
    <t>30.9.2025</t>
  </si>
  <si>
    <t xml:space="preserve">Tanishqa Architecture Solutions </t>
  </si>
  <si>
    <t>29.9.2025</t>
  </si>
  <si>
    <t>Orbilit Technology</t>
  </si>
  <si>
    <t>Supply of Toilet Cubical</t>
  </si>
  <si>
    <t>Merino Industries Limited</t>
  </si>
  <si>
    <t>01.10.2025</t>
  </si>
  <si>
    <t>Supply  of plywood &amp; OSB Boards</t>
  </si>
  <si>
    <t>09.10.2025</t>
  </si>
  <si>
    <t>06.10.2025</t>
  </si>
  <si>
    <t>Supply of Loose Furniture</t>
  </si>
  <si>
    <t>Komfort Seatings and Systems</t>
  </si>
  <si>
    <t>03.10.2025</t>
  </si>
  <si>
    <t>Supply of Perforated Gypsum</t>
  </si>
  <si>
    <t xml:space="preserve">Buildx Interior Products Pvt Ltd </t>
  </si>
  <si>
    <t>Supply of Grid Material</t>
  </si>
  <si>
    <t>Armstrong/knauf</t>
  </si>
  <si>
    <t xml:space="preserve">Trident Holdings </t>
  </si>
  <si>
    <t xml:space="preserve">Supply of movable table </t>
  </si>
  <si>
    <t>GODREJ &amp; BOYCE MFG. CO. LTD</t>
  </si>
  <si>
    <t>Supply of Nexion tiles</t>
  </si>
  <si>
    <t>Kohinoor Ceramics Distributors</t>
  </si>
  <si>
    <t>08.10.2025</t>
  </si>
  <si>
    <t>12.10.2025</t>
  </si>
  <si>
    <t>Paxguard Solution</t>
  </si>
  <si>
    <t>11.10.2025</t>
  </si>
  <si>
    <t>Supply of materials</t>
  </si>
  <si>
    <t>16.10.2025</t>
  </si>
  <si>
    <t>S S Aluminum and Trading</t>
  </si>
  <si>
    <t>14.10.2025</t>
  </si>
  <si>
    <t>13.10.2025</t>
  </si>
  <si>
    <t>Supply of PP Sheet</t>
  </si>
  <si>
    <t>17.10.2025</t>
  </si>
  <si>
    <t>Tanishqa Architecture solutions</t>
  </si>
  <si>
    <t>Amardeep Designs Pvt Ltd</t>
  </si>
  <si>
    <t>Supply of Plywoods</t>
  </si>
  <si>
    <t>Archid , As per quote</t>
  </si>
  <si>
    <t>20.10.2025</t>
  </si>
  <si>
    <t xml:space="preserve">Supply of  - Glass Partion </t>
  </si>
  <si>
    <t>Bottomline</t>
  </si>
  <si>
    <t>31.10.2025</t>
  </si>
  <si>
    <t>Surface</t>
  </si>
  <si>
    <t>Sanitary Materials</t>
  </si>
  <si>
    <t>Jaguar</t>
  </si>
  <si>
    <t>15.10.2025</t>
  </si>
  <si>
    <t>Bath World</t>
  </si>
  <si>
    <t xml:space="preserve">Ply and MDF Materials </t>
  </si>
  <si>
    <t>Jindal</t>
  </si>
  <si>
    <t xml:space="preserve">SS Aluminium </t>
  </si>
  <si>
    <t>Supply of Solid acrylic</t>
  </si>
  <si>
    <t>Durasein</t>
  </si>
  <si>
    <t xml:space="preserve">Inani interior </t>
  </si>
  <si>
    <t>DOC # SMPL/PJ/R04</t>
  </si>
  <si>
    <t xml:space="preserve">REV NO / DATE : </t>
  </si>
  <si>
    <t>Issue No, Date: 01 &amp; 07-10-2024</t>
  </si>
  <si>
    <t xml:space="preserve">PREPARED BY: Mr. Chinna babu                                                </t>
  </si>
  <si>
    <t xml:space="preserve">APPROVED BY </t>
  </si>
  <si>
    <t>Mr. Prem kumar D</t>
  </si>
  <si>
    <t>AMAZON IT SERVICES (INDIA) PVT LTD, HYDERABAD.</t>
  </si>
  <si>
    <t>MATERIAL TRACKER</t>
  </si>
  <si>
    <t>PERIOD :- 01/07/2018 TO 09/07/2018</t>
  </si>
  <si>
    <t>INDENT NO</t>
  </si>
  <si>
    <t>MATERIAL DESCRIPTION</t>
  </si>
  <si>
    <t>DELIVERY DATE</t>
  </si>
  <si>
    <t>1003201811</t>
  </si>
  <si>
    <t>GYPSUM BOARD PLAIN 12.5 MM TK,P0201010101</t>
  </si>
  <si>
    <t>SG</t>
  </si>
  <si>
    <t>NOS</t>
  </si>
  <si>
    <t>March 12, 2018</t>
  </si>
  <si>
    <t>MARUTI GYPSUM AGENCY,M089</t>
  </si>
  <si>
    <t>RECEIVED</t>
  </si>
  <si>
    <t>1403201807</t>
  </si>
  <si>
    <t>March 15, 2018</t>
  </si>
  <si>
    <t>3103201802</t>
  </si>
  <si>
    <t>GYPSUM BOARD FIRELINE 15MM TK,P0201030321</t>
  </si>
  <si>
    <t>SG - GYPROC (SIZE - 8' x 4')</t>
  </si>
  <si>
    <t>April 2, 2018</t>
  </si>
  <si>
    <t>ALPHA GYP SOLUTIONS,A278</t>
  </si>
  <si>
    <t>BALANCE NOT REQUIRED</t>
  </si>
  <si>
    <t>12.5MM TK - SOUND BLOC BOARD - SG - SIZE 6' x 4'</t>
  </si>
  <si>
    <t>URGENT REQUIRED</t>
  </si>
  <si>
    <t>12.5 MM TK - HABITO BOARD - SG - SIZE 8' x 4'</t>
  </si>
  <si>
    <t>1805201811</t>
  </si>
  <si>
    <t>May 24,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</si>
</sst>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[$-409]d\-mmm\-yyyy;@"/>
    <numFmt numFmtId="166" formatCode="_ * #,##0_ ;_ * \-#,##0_ ;_ * &quot;-&quot;??_ ;_ @_ "/>
    <numFmt numFmtId="167" formatCode="&quot;₹&quot;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Sitka Small"/>
    </font>
    <font>
      <sz val="11"/>
      <name val="Bookman Old Style"/>
      <family val="1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Bookman Old Style"/>
      <family val="1"/>
    </font>
    <font>
      <b/>
      <sz val="12"/>
      <name val="Garamond"/>
      <family val="1"/>
    </font>
    <font>
      <sz val="12"/>
      <name val="Garamond"/>
      <family val="1"/>
    </font>
    <font>
      <b/>
      <sz val="14"/>
      <name val="Garamond"/>
      <family val="1"/>
    </font>
    <font>
      <sz val="14"/>
      <name val="Bookman Old Style"/>
      <family val="1"/>
    </font>
    <font>
      <sz val="12"/>
      <name val="Bookman Old Style"/>
      <family val="1"/>
    </font>
    <font>
      <b/>
      <sz val="22"/>
      <name val="Sitka Small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>
      <alignment vertical="center"/>
    </xf>
  </cellStyleXfs>
  <cellXfs count="70">
    <xf numFmtId="0" fontId="0" fillId="0" borderId="0" xfId="0"/>
    <xf numFmtId="164" fontId="3" fillId="0" borderId="0" xfId="1" applyFont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/>
    </xf>
    <xf numFmtId="164" fontId="3" fillId="3" borderId="1" xfId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64" fontId="3" fillId="3" borderId="1" xfId="1" applyFont="1" applyFill="1" applyBorder="1" applyAlignment="1">
      <alignment horizontal="center" vertical="center" wrapText="1"/>
    </xf>
    <xf numFmtId="164" fontId="3" fillId="0" borderId="0" xfId="1" applyFont="1" applyFill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3" fillId="0" borderId="1" xfId="1" applyFont="1" applyFill="1" applyBorder="1" applyAlignment="1">
      <alignment horizontal="center" vertical="center"/>
    </xf>
    <xf numFmtId="164" fontId="3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left" vertical="center"/>
    </xf>
    <xf numFmtId="164" fontId="3" fillId="2" borderId="1" xfId="1" applyFont="1" applyFill="1" applyBorder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/>
    </xf>
    <xf numFmtId="14" fontId="3" fillId="3" borderId="1" xfId="1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15" fontId="3" fillId="0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167" fontId="3" fillId="0" borderId="0" xfId="1" applyNumberFormat="1" applyFont="1" applyFill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164" fontId="9" fillId="0" borderId="4" xfId="1" applyFont="1" applyFill="1" applyBorder="1" applyAlignment="1">
      <alignment vertical="center"/>
    </xf>
    <xf numFmtId="164" fontId="10" fillId="0" borderId="0" xfId="1" applyFont="1" applyFill="1" applyAlignment="1">
      <alignment horizontal="center" vertical="center"/>
    </xf>
    <xf numFmtId="164" fontId="7" fillId="0" borderId="1" xfId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164" fontId="11" fillId="0" borderId="0" xfId="1" applyFont="1" applyFill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/>
    </xf>
    <xf numFmtId="0" fontId="14" fillId="0" borderId="1" xfId="0" applyFont="1" applyBorder="1"/>
    <xf numFmtId="0" fontId="14" fillId="0" borderId="5" xfId="0" applyFont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vertical="top" wrapText="1"/>
    </xf>
    <xf numFmtId="15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4" fontId="3" fillId="0" borderId="0" xfId="1" applyFont="1" applyFill="1" applyAlignment="1">
      <alignment horizontal="left" vertical="center"/>
    </xf>
    <xf numFmtId="49" fontId="3" fillId="0" borderId="0" xfId="1" applyNumberFormat="1" applyFont="1" applyFill="1" applyAlignment="1">
      <alignment horizontal="center" vertical="center"/>
    </xf>
    <xf numFmtId="164" fontId="3" fillId="0" borderId="0" xfId="1" applyFont="1" applyFill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9" fillId="0" borderId="4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9" fillId="0" borderId="2" xfId="1" applyFont="1" applyFill="1" applyBorder="1" applyAlignment="1">
      <alignment horizontal="left" vertical="center"/>
    </xf>
    <xf numFmtId="166" fontId="3" fillId="0" borderId="1" xfId="1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164" fontId="7" fillId="0" borderId="1" xfId="1" applyFont="1" applyFill="1" applyBorder="1" applyAlignment="1">
      <alignment horizontal="left" vertical="center"/>
    </xf>
    <xf numFmtId="164" fontId="12" fillId="0" borderId="1" xfId="1" applyFont="1" applyFill="1" applyBorder="1" applyAlignment="1">
      <alignment horizontal="center" vertical="center"/>
    </xf>
    <xf numFmtId="164" fontId="8" fillId="0" borderId="1" xfId="1" applyFont="1" applyFill="1" applyBorder="1" applyAlignment="1">
      <alignment horizontal="center" vertical="center"/>
    </xf>
    <xf numFmtId="164" fontId="7" fillId="0" borderId="1" xfId="1" applyFont="1" applyFill="1" applyBorder="1" applyAlignment="1">
      <alignment horizontal="center" vertical="center"/>
    </xf>
    <xf numFmtId="164" fontId="9" fillId="0" borderId="4" xfId="1" applyFont="1" applyFill="1" applyBorder="1" applyAlignment="1">
      <alignment horizontal="left" vertical="center"/>
    </xf>
    <xf numFmtId="164" fontId="2" fillId="0" borderId="1" xfId="1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 2" xfId="3" xr:uid="{35B20D9D-F73A-4E4A-9C2D-4AC8F74F0C6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  <color rgb="FFFF33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54429</xdr:rowOff>
    </xdr:from>
    <xdr:to>
      <xdr:col>2</xdr:col>
      <xdr:colOff>1045483</xdr:colOff>
      <xdr:row>0</xdr:row>
      <xdr:rowOff>594179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7CBCBF-E9D2-4452-904B-D6D273A4F9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22" y="54429"/>
          <a:ext cx="1000125" cy="53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view="pageBreakPreview" topLeftCell="A31" zoomScale="70" zoomScaleNormal="85" zoomScaleSheetLayoutView="70" workbookViewId="0">
      <selection activeCell="A44" sqref="A44"/>
    </sheetView>
  </sheetViews>
  <sheetFormatPr defaultColWidth="9.140625" defaultRowHeight="15"/>
  <cols>
    <col min="1" max="1" width="8.28515625" style="52" customWidth="1"/>
    <col min="2" max="2" width="16.5703125" style="11" customWidth="1"/>
    <col min="3" max="3" width="43.140625" style="52" bestFit="1" customWidth="1"/>
    <col min="4" max="4" width="23.42578125" style="11" customWidth="1"/>
    <col min="5" max="5" width="7.85546875" style="11" customWidth="1"/>
    <col min="6" max="6" width="14.7109375" style="11" customWidth="1"/>
    <col min="7" max="7" width="16.140625" style="22" customWidth="1"/>
    <col min="8" max="8" width="14.85546875" style="53" customWidth="1"/>
    <col min="9" max="9" width="34.42578125" style="11" bestFit="1" customWidth="1"/>
    <col min="10" max="10" width="11.5703125" style="11" customWidth="1"/>
    <col min="11" max="11" width="13.28515625" style="11" customWidth="1"/>
    <col min="12" max="12" width="13.42578125" style="11" customWidth="1"/>
    <col min="13" max="13" width="10.5703125" style="11" customWidth="1"/>
    <col min="14" max="14" width="17" style="11" customWidth="1"/>
    <col min="15" max="15" width="18.85546875" style="54" customWidth="1"/>
    <col min="16" max="16" width="10.7109375" style="11" bestFit="1" customWidth="1"/>
    <col min="17" max="17" width="11.85546875" style="11" bestFit="1" customWidth="1"/>
    <col min="18" max="18" width="16.42578125" style="11" bestFit="1" customWidth="1"/>
    <col min="19" max="19" width="9.42578125" style="11" bestFit="1" customWidth="1"/>
    <col min="20" max="20" width="10.42578125" style="11" bestFit="1" customWidth="1"/>
    <col min="21" max="16384" width="9.140625" style="11"/>
  </cols>
  <sheetData>
    <row r="1" spans="1:17" ht="53.2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7" s="38" customFormat="1" ht="18.75">
      <c r="A2" s="60" t="s">
        <v>1</v>
      </c>
      <c r="B2" s="58"/>
      <c r="C2" s="37"/>
      <c r="D2" s="67" t="s">
        <v>2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7" s="38" customFormat="1" ht="18.75">
      <c r="A3" s="60" t="s">
        <v>3</v>
      </c>
      <c r="B3" s="58"/>
      <c r="C3" s="37"/>
      <c r="D3" s="67" t="s">
        <v>4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s="38" customFormat="1" ht="18.75">
      <c r="A4" s="60" t="s">
        <v>5</v>
      </c>
      <c r="B4" s="58"/>
      <c r="C4" s="37"/>
      <c r="D4" s="67" t="s">
        <v>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</row>
    <row r="5" spans="1:17" s="41" customFormat="1" ht="47.25">
      <c r="A5" s="39" t="s">
        <v>7</v>
      </c>
      <c r="B5" s="39" t="s">
        <v>8</v>
      </c>
      <c r="C5" s="39" t="s">
        <v>9</v>
      </c>
      <c r="D5" s="39" t="s">
        <v>10</v>
      </c>
      <c r="E5" s="39" t="s">
        <v>11</v>
      </c>
      <c r="F5" s="39" t="s">
        <v>12</v>
      </c>
      <c r="G5" s="28" t="s">
        <v>13</v>
      </c>
      <c r="H5" s="40" t="s">
        <v>14</v>
      </c>
      <c r="I5" s="39" t="s">
        <v>15</v>
      </c>
      <c r="J5" s="39" t="s">
        <v>16</v>
      </c>
      <c r="K5" s="39" t="s">
        <v>17</v>
      </c>
      <c r="L5" s="39" t="s">
        <v>18</v>
      </c>
      <c r="M5" s="39" t="s">
        <v>11</v>
      </c>
      <c r="N5" s="39" t="s">
        <v>19</v>
      </c>
      <c r="O5" s="39" t="s">
        <v>20</v>
      </c>
    </row>
    <row r="6" spans="1:17">
      <c r="A6" s="34">
        <v>1</v>
      </c>
      <c r="B6" s="56" t="s">
        <v>21</v>
      </c>
      <c r="C6" s="42" t="s">
        <v>22</v>
      </c>
      <c r="D6" s="44" t="s">
        <v>23</v>
      </c>
      <c r="E6" s="44" t="s">
        <v>24</v>
      </c>
      <c r="F6" s="30">
        <v>1</v>
      </c>
      <c r="G6" s="55" t="s">
        <v>25</v>
      </c>
      <c r="H6" s="29" t="s">
        <v>26</v>
      </c>
      <c r="I6" s="45" t="s">
        <v>27</v>
      </c>
      <c r="J6" s="30">
        <v>1</v>
      </c>
      <c r="K6" s="30">
        <v>1</v>
      </c>
      <c r="L6" s="55" t="s">
        <v>28</v>
      </c>
      <c r="M6" s="44" t="s">
        <v>24</v>
      </c>
      <c r="N6" s="16">
        <f>K6-J6</f>
        <v>0</v>
      </c>
      <c r="O6" s="30"/>
      <c r="P6" s="36"/>
      <c r="Q6" s="35"/>
    </row>
    <row r="7" spans="1:17">
      <c r="A7" s="34">
        <f>A6+1</f>
        <v>2</v>
      </c>
      <c r="B7" s="56" t="s">
        <v>25</v>
      </c>
      <c r="C7" s="46" t="s">
        <v>29</v>
      </c>
      <c r="D7" s="44" t="s">
        <v>23</v>
      </c>
      <c r="E7" s="44" t="s">
        <v>24</v>
      </c>
      <c r="F7" s="30">
        <v>1</v>
      </c>
      <c r="G7" s="56" t="s">
        <v>30</v>
      </c>
      <c r="H7" s="29" t="s">
        <v>26</v>
      </c>
      <c r="I7" s="46" t="s">
        <v>31</v>
      </c>
      <c r="J7" s="30">
        <v>1</v>
      </c>
      <c r="K7" s="30">
        <v>1</v>
      </c>
      <c r="L7" s="56" t="s">
        <v>32</v>
      </c>
      <c r="M7" s="44" t="s">
        <v>24</v>
      </c>
      <c r="N7" s="16">
        <f t="shared" ref="N7:N41" si="0">K7-J7</f>
        <v>0</v>
      </c>
      <c r="O7" s="30"/>
      <c r="P7" s="35"/>
    </row>
    <row r="8" spans="1:17" ht="30">
      <c r="A8" s="34">
        <f t="shared" ref="A8:A44" si="1">A7+1</f>
        <v>3</v>
      </c>
      <c r="B8" s="56" t="s">
        <v>25</v>
      </c>
      <c r="C8" s="46" t="s">
        <v>33</v>
      </c>
      <c r="D8" s="44" t="s">
        <v>23</v>
      </c>
      <c r="E8" s="44" t="s">
        <v>34</v>
      </c>
      <c r="F8" s="30">
        <v>4</v>
      </c>
      <c r="G8" s="56" t="s">
        <v>30</v>
      </c>
      <c r="H8" s="29" t="s">
        <v>26</v>
      </c>
      <c r="I8" s="46" t="s">
        <v>35</v>
      </c>
      <c r="J8" s="30">
        <v>4</v>
      </c>
      <c r="K8" s="30">
        <v>4</v>
      </c>
      <c r="L8" s="56" t="s">
        <v>30</v>
      </c>
      <c r="M8" s="44" t="s">
        <v>34</v>
      </c>
      <c r="N8" s="16">
        <f t="shared" si="0"/>
        <v>0</v>
      </c>
      <c r="O8" s="30"/>
    </row>
    <row r="9" spans="1:17">
      <c r="A9" s="34">
        <f t="shared" si="1"/>
        <v>4</v>
      </c>
      <c r="B9" s="56" t="s">
        <v>30</v>
      </c>
      <c r="C9" s="47" t="s">
        <v>36</v>
      </c>
      <c r="D9" s="44" t="s">
        <v>37</v>
      </c>
      <c r="E9" s="44" t="s">
        <v>38</v>
      </c>
      <c r="F9" s="30">
        <v>800</v>
      </c>
      <c r="G9" s="56" t="s">
        <v>39</v>
      </c>
      <c r="H9" s="29" t="s">
        <v>26</v>
      </c>
      <c r="I9" s="46" t="s">
        <v>40</v>
      </c>
      <c r="J9" s="30">
        <v>800</v>
      </c>
      <c r="K9" s="30">
        <v>800</v>
      </c>
      <c r="L9" s="56" t="s">
        <v>41</v>
      </c>
      <c r="M9" s="44" t="s">
        <v>38</v>
      </c>
      <c r="N9" s="16">
        <f t="shared" si="0"/>
        <v>0</v>
      </c>
      <c r="O9" s="30"/>
    </row>
    <row r="10" spans="1:17" ht="30">
      <c r="A10" s="34">
        <f t="shared" si="1"/>
        <v>5</v>
      </c>
      <c r="B10" s="56" t="s">
        <v>30</v>
      </c>
      <c r="C10" s="46" t="s">
        <v>42</v>
      </c>
      <c r="D10" s="44" t="s">
        <v>23</v>
      </c>
      <c r="E10" s="44" t="s">
        <v>34</v>
      </c>
      <c r="F10" s="30">
        <v>1</v>
      </c>
      <c r="G10" s="56" t="s">
        <v>39</v>
      </c>
      <c r="H10" s="29" t="s">
        <v>26</v>
      </c>
      <c r="I10" s="46" t="s">
        <v>43</v>
      </c>
      <c r="J10" s="30">
        <v>1</v>
      </c>
      <c r="K10" s="30">
        <v>1</v>
      </c>
      <c r="L10" s="56" t="s">
        <v>44</v>
      </c>
      <c r="M10" s="44" t="s">
        <v>34</v>
      </c>
      <c r="N10" s="16">
        <f t="shared" si="0"/>
        <v>0</v>
      </c>
      <c r="O10" s="30"/>
    </row>
    <row r="11" spans="1:17">
      <c r="A11" s="34">
        <f t="shared" si="1"/>
        <v>6</v>
      </c>
      <c r="B11" s="56" t="s">
        <v>30</v>
      </c>
      <c r="C11" s="46" t="s">
        <v>45</v>
      </c>
      <c r="D11" s="44" t="s">
        <v>23</v>
      </c>
      <c r="E11" s="44" t="s">
        <v>24</v>
      </c>
      <c r="F11" s="30">
        <v>1</v>
      </c>
      <c r="G11" s="56" t="s">
        <v>39</v>
      </c>
      <c r="H11" s="29" t="s">
        <v>26</v>
      </c>
      <c r="I11" s="46" t="s">
        <v>46</v>
      </c>
      <c r="J11" s="30">
        <v>1</v>
      </c>
      <c r="K11" s="30">
        <v>1</v>
      </c>
      <c r="L11" s="56" t="s">
        <v>41</v>
      </c>
      <c r="M11" s="44" t="s">
        <v>24</v>
      </c>
      <c r="N11" s="16">
        <f t="shared" si="0"/>
        <v>0</v>
      </c>
      <c r="O11" s="30"/>
    </row>
    <row r="12" spans="1:17" ht="30">
      <c r="A12" s="34">
        <f t="shared" si="1"/>
        <v>7</v>
      </c>
      <c r="B12" s="56" t="s">
        <v>47</v>
      </c>
      <c r="C12" s="46" t="s">
        <v>48</v>
      </c>
      <c r="D12" s="59" t="s">
        <v>49</v>
      </c>
      <c r="E12" s="44" t="s">
        <v>24</v>
      </c>
      <c r="F12" s="30">
        <v>1</v>
      </c>
      <c r="G12" s="56" t="s">
        <v>50</v>
      </c>
      <c r="H12" s="29" t="s">
        <v>26</v>
      </c>
      <c r="I12" s="46" t="s">
        <v>51</v>
      </c>
      <c r="J12" s="30">
        <v>1</v>
      </c>
      <c r="K12" s="30">
        <v>1</v>
      </c>
      <c r="L12" s="56" t="s">
        <v>41</v>
      </c>
      <c r="M12" s="44" t="s">
        <v>24</v>
      </c>
      <c r="N12" s="16">
        <f t="shared" si="0"/>
        <v>0</v>
      </c>
      <c r="O12" s="30"/>
    </row>
    <row r="13" spans="1:17">
      <c r="A13" s="34">
        <f t="shared" si="1"/>
        <v>8</v>
      </c>
      <c r="B13" s="56" t="s">
        <v>52</v>
      </c>
      <c r="C13" s="42" t="s">
        <v>53</v>
      </c>
      <c r="D13" s="44" t="s">
        <v>23</v>
      </c>
      <c r="E13" s="44" t="s">
        <v>24</v>
      </c>
      <c r="F13" s="30">
        <v>1</v>
      </c>
      <c r="G13" s="56" t="s">
        <v>50</v>
      </c>
      <c r="H13" s="29" t="s">
        <v>26</v>
      </c>
      <c r="I13" s="46" t="s">
        <v>54</v>
      </c>
      <c r="J13" s="30">
        <v>1</v>
      </c>
      <c r="K13" s="30">
        <v>1</v>
      </c>
      <c r="L13" s="56" t="s">
        <v>39</v>
      </c>
      <c r="M13" s="44" t="s">
        <v>24</v>
      </c>
      <c r="N13" s="16">
        <f t="shared" si="0"/>
        <v>0</v>
      </c>
      <c r="O13" s="30"/>
    </row>
    <row r="14" spans="1:17">
      <c r="A14" s="34">
        <f t="shared" si="1"/>
        <v>9</v>
      </c>
      <c r="B14" s="56" t="s">
        <v>52</v>
      </c>
      <c r="C14" s="42" t="s">
        <v>55</v>
      </c>
      <c r="D14" s="44" t="s">
        <v>23</v>
      </c>
      <c r="E14" s="44" t="s">
        <v>24</v>
      </c>
      <c r="F14" s="30">
        <v>1</v>
      </c>
      <c r="G14" s="56" t="s">
        <v>50</v>
      </c>
      <c r="H14" s="29" t="s">
        <v>26</v>
      </c>
      <c r="I14" s="46" t="s">
        <v>56</v>
      </c>
      <c r="J14" s="30">
        <v>1</v>
      </c>
      <c r="K14" s="30">
        <v>1</v>
      </c>
      <c r="L14" s="56" t="s">
        <v>39</v>
      </c>
      <c r="M14" s="44" t="s">
        <v>24</v>
      </c>
      <c r="N14" s="16">
        <f t="shared" si="0"/>
        <v>0</v>
      </c>
      <c r="O14" s="30"/>
    </row>
    <row r="15" spans="1:17" ht="30">
      <c r="A15" s="34">
        <f t="shared" si="1"/>
        <v>10</v>
      </c>
      <c r="B15" s="56" t="s">
        <v>52</v>
      </c>
      <c r="C15" s="46" t="s">
        <v>57</v>
      </c>
      <c r="D15" s="59" t="s">
        <v>58</v>
      </c>
      <c r="E15" s="44" t="s">
        <v>24</v>
      </c>
      <c r="F15" s="30">
        <v>1</v>
      </c>
      <c r="G15" s="56" t="s">
        <v>50</v>
      </c>
      <c r="H15" s="29" t="s">
        <v>26</v>
      </c>
      <c r="I15" s="46" t="s">
        <v>59</v>
      </c>
      <c r="J15" s="30">
        <v>1</v>
      </c>
      <c r="K15" s="30">
        <v>1</v>
      </c>
      <c r="L15" s="56" t="s">
        <v>39</v>
      </c>
      <c r="M15" s="44" t="s">
        <v>24</v>
      </c>
      <c r="N15" s="16">
        <f t="shared" si="0"/>
        <v>0</v>
      </c>
      <c r="O15" s="30"/>
    </row>
    <row r="16" spans="1:17">
      <c r="A16" s="34">
        <f t="shared" si="1"/>
        <v>11</v>
      </c>
      <c r="B16" s="56" t="s">
        <v>52</v>
      </c>
      <c r="C16" s="46" t="s">
        <v>60</v>
      </c>
      <c r="D16" s="44" t="s">
        <v>23</v>
      </c>
      <c r="E16" s="44" t="s">
        <v>24</v>
      </c>
      <c r="F16" s="30">
        <v>1</v>
      </c>
      <c r="G16" s="56" t="s">
        <v>50</v>
      </c>
      <c r="H16" s="29" t="s">
        <v>26</v>
      </c>
      <c r="I16" s="46" t="s">
        <v>61</v>
      </c>
      <c r="J16" s="30">
        <v>1</v>
      </c>
      <c r="K16" s="30">
        <v>1</v>
      </c>
      <c r="L16" s="56" t="s">
        <v>39</v>
      </c>
      <c r="M16" s="44" t="s">
        <v>24</v>
      </c>
      <c r="N16" s="16">
        <f t="shared" si="0"/>
        <v>0</v>
      </c>
      <c r="O16" s="30"/>
    </row>
    <row r="17" spans="1:15">
      <c r="A17" s="34">
        <f t="shared" si="1"/>
        <v>12</v>
      </c>
      <c r="B17" s="56" t="s">
        <v>52</v>
      </c>
      <c r="C17" s="46" t="s">
        <v>62</v>
      </c>
      <c r="D17" s="44" t="s">
        <v>23</v>
      </c>
      <c r="E17" s="44" t="s">
        <v>24</v>
      </c>
      <c r="F17" s="30">
        <v>1</v>
      </c>
      <c r="G17" s="56" t="s">
        <v>50</v>
      </c>
      <c r="H17" s="29" t="s">
        <v>26</v>
      </c>
      <c r="I17" s="45" t="s">
        <v>63</v>
      </c>
      <c r="J17" s="30">
        <v>1</v>
      </c>
      <c r="K17" s="30">
        <v>1</v>
      </c>
      <c r="L17" s="56" t="s">
        <v>39</v>
      </c>
      <c r="M17" s="44" t="s">
        <v>24</v>
      </c>
      <c r="N17" s="16">
        <f t="shared" si="0"/>
        <v>0</v>
      </c>
      <c r="O17" s="30"/>
    </row>
    <row r="18" spans="1:15">
      <c r="A18" s="34">
        <f t="shared" si="1"/>
        <v>13</v>
      </c>
      <c r="B18" s="56" t="s">
        <v>41</v>
      </c>
      <c r="C18" s="46" t="s">
        <v>64</v>
      </c>
      <c r="D18" s="59" t="s">
        <v>65</v>
      </c>
      <c r="E18" s="44" t="s">
        <v>24</v>
      </c>
      <c r="F18" s="30">
        <v>1</v>
      </c>
      <c r="G18" s="57" t="s">
        <v>66</v>
      </c>
      <c r="H18" s="29" t="s">
        <v>26</v>
      </c>
      <c r="I18" s="46" t="s">
        <v>67</v>
      </c>
      <c r="J18" s="30">
        <v>1</v>
      </c>
      <c r="K18" s="30">
        <v>1</v>
      </c>
      <c r="L18" s="57" t="s">
        <v>66</v>
      </c>
      <c r="M18" s="44" t="s">
        <v>24</v>
      </c>
      <c r="N18" s="16">
        <f t="shared" si="0"/>
        <v>0</v>
      </c>
      <c r="O18" s="30"/>
    </row>
    <row r="19" spans="1:15">
      <c r="A19" s="34">
        <f t="shared" si="1"/>
        <v>14</v>
      </c>
      <c r="B19" s="56" t="s">
        <v>41</v>
      </c>
      <c r="C19" s="46" t="s">
        <v>68</v>
      </c>
      <c r="D19" s="59" t="s">
        <v>65</v>
      </c>
      <c r="E19" s="44" t="s">
        <v>24</v>
      </c>
      <c r="F19" s="30">
        <v>1</v>
      </c>
      <c r="G19" s="57" t="s">
        <v>66</v>
      </c>
      <c r="H19" s="29" t="s">
        <v>26</v>
      </c>
      <c r="I19" s="46" t="s">
        <v>69</v>
      </c>
      <c r="J19" s="30">
        <v>1</v>
      </c>
      <c r="K19" s="30">
        <v>1</v>
      </c>
      <c r="L19" s="57" t="s">
        <v>66</v>
      </c>
      <c r="M19" s="44" t="s">
        <v>24</v>
      </c>
      <c r="N19" s="16">
        <f t="shared" si="0"/>
        <v>0</v>
      </c>
      <c r="O19" s="30"/>
    </row>
    <row r="20" spans="1:15">
      <c r="A20" s="34">
        <f t="shared" si="1"/>
        <v>15</v>
      </c>
      <c r="B20" s="57" t="s">
        <v>70</v>
      </c>
      <c r="C20" s="46" t="s">
        <v>71</v>
      </c>
      <c r="D20" s="59" t="s">
        <v>65</v>
      </c>
      <c r="E20" s="44" t="s">
        <v>24</v>
      </c>
      <c r="F20" s="30">
        <v>1</v>
      </c>
      <c r="G20" s="57" t="s">
        <v>72</v>
      </c>
      <c r="H20" s="29" t="s">
        <v>26</v>
      </c>
      <c r="I20" s="46" t="s">
        <v>73</v>
      </c>
      <c r="J20" s="30">
        <v>1</v>
      </c>
      <c r="K20" s="30">
        <v>1</v>
      </c>
      <c r="L20" s="57"/>
      <c r="M20" s="44" t="s">
        <v>24</v>
      </c>
      <c r="N20" s="16">
        <f t="shared" si="0"/>
        <v>0</v>
      </c>
      <c r="O20" s="30" t="s">
        <v>74</v>
      </c>
    </row>
    <row r="21" spans="1:15">
      <c r="A21" s="34">
        <f t="shared" si="1"/>
        <v>16</v>
      </c>
      <c r="B21" s="57" t="s">
        <v>70</v>
      </c>
      <c r="C21" s="46" t="s">
        <v>75</v>
      </c>
      <c r="D21" s="59" t="s">
        <v>65</v>
      </c>
      <c r="E21" s="44" t="s">
        <v>24</v>
      </c>
      <c r="F21" s="30">
        <v>1</v>
      </c>
      <c r="G21" s="57" t="s">
        <v>76</v>
      </c>
      <c r="H21" s="29" t="s">
        <v>26</v>
      </c>
      <c r="I21" s="46" t="s">
        <v>77</v>
      </c>
      <c r="J21" s="30">
        <v>1</v>
      </c>
      <c r="K21" s="30">
        <v>1</v>
      </c>
      <c r="L21" s="57" t="s">
        <v>76</v>
      </c>
      <c r="M21" s="44" t="s">
        <v>24</v>
      </c>
      <c r="N21" s="16">
        <f t="shared" si="0"/>
        <v>0</v>
      </c>
      <c r="O21" s="30"/>
    </row>
    <row r="22" spans="1:15">
      <c r="A22" s="34">
        <f t="shared" si="1"/>
        <v>17</v>
      </c>
      <c r="B22" s="57" t="s">
        <v>70</v>
      </c>
      <c r="C22" s="49" t="s">
        <v>78</v>
      </c>
      <c r="D22" s="59" t="s">
        <v>65</v>
      </c>
      <c r="E22" s="44" t="s">
        <v>24</v>
      </c>
      <c r="F22" s="30">
        <v>1</v>
      </c>
      <c r="G22" s="57" t="s">
        <v>72</v>
      </c>
      <c r="H22" s="29" t="s">
        <v>26</v>
      </c>
      <c r="I22" s="46" t="s">
        <v>79</v>
      </c>
      <c r="J22" s="30">
        <v>1</v>
      </c>
      <c r="K22" s="30">
        <v>1</v>
      </c>
      <c r="L22" s="57"/>
      <c r="M22" s="44" t="s">
        <v>24</v>
      </c>
      <c r="N22" s="16">
        <f t="shared" si="0"/>
        <v>0</v>
      </c>
      <c r="O22" s="30" t="s">
        <v>74</v>
      </c>
    </row>
    <row r="23" spans="1:15">
      <c r="A23" s="34">
        <f t="shared" si="1"/>
        <v>18</v>
      </c>
      <c r="B23" s="56" t="s">
        <v>50</v>
      </c>
      <c r="C23" s="46" t="s">
        <v>80</v>
      </c>
      <c r="D23" s="59" t="s">
        <v>65</v>
      </c>
      <c r="E23" s="44" t="s">
        <v>24</v>
      </c>
      <c r="F23" s="30">
        <v>1</v>
      </c>
      <c r="G23" s="57" t="s">
        <v>72</v>
      </c>
      <c r="H23" s="29" t="s">
        <v>26</v>
      </c>
      <c r="I23" s="46" t="s">
        <v>81</v>
      </c>
      <c r="J23" s="30">
        <v>1</v>
      </c>
      <c r="K23" s="30">
        <v>1</v>
      </c>
      <c r="L23" s="56"/>
      <c r="M23" s="44" t="s">
        <v>24</v>
      </c>
      <c r="N23" s="16">
        <f t="shared" si="0"/>
        <v>0</v>
      </c>
      <c r="O23" s="30" t="s">
        <v>74</v>
      </c>
    </row>
    <row r="24" spans="1:15">
      <c r="A24" s="34">
        <f t="shared" si="1"/>
        <v>19</v>
      </c>
      <c r="B24" s="57" t="s">
        <v>82</v>
      </c>
      <c r="C24" s="48" t="s">
        <v>83</v>
      </c>
      <c r="D24" s="59" t="s">
        <v>65</v>
      </c>
      <c r="E24" s="44" t="s">
        <v>24</v>
      </c>
      <c r="F24" s="30">
        <v>1</v>
      </c>
      <c r="G24" s="57" t="s">
        <v>84</v>
      </c>
      <c r="H24" s="29" t="s">
        <v>26</v>
      </c>
      <c r="I24" s="48" t="s">
        <v>85</v>
      </c>
      <c r="J24" s="30">
        <v>1</v>
      </c>
      <c r="K24" s="30">
        <v>1</v>
      </c>
      <c r="L24" s="57" t="s">
        <v>86</v>
      </c>
      <c r="M24" s="44" t="s">
        <v>24</v>
      </c>
      <c r="N24" s="16">
        <f t="shared" si="0"/>
        <v>0</v>
      </c>
      <c r="O24" s="30"/>
    </row>
    <row r="25" spans="1:15">
      <c r="A25" s="34">
        <f t="shared" si="1"/>
        <v>20</v>
      </c>
      <c r="B25" s="57" t="s">
        <v>82</v>
      </c>
      <c r="C25" s="46" t="s">
        <v>71</v>
      </c>
      <c r="D25" s="59" t="s">
        <v>65</v>
      </c>
      <c r="E25" s="44" t="s">
        <v>24</v>
      </c>
      <c r="F25" s="30">
        <v>1</v>
      </c>
      <c r="G25" s="57" t="s">
        <v>72</v>
      </c>
      <c r="H25" s="29" t="s">
        <v>26</v>
      </c>
      <c r="I25" s="46" t="s">
        <v>87</v>
      </c>
      <c r="J25" s="30">
        <v>1</v>
      </c>
      <c r="K25" s="30">
        <v>1</v>
      </c>
      <c r="L25" s="57"/>
      <c r="M25" s="44" t="s">
        <v>24</v>
      </c>
      <c r="N25" s="16">
        <f t="shared" si="0"/>
        <v>0</v>
      </c>
      <c r="O25" s="30" t="s">
        <v>74</v>
      </c>
    </row>
    <row r="26" spans="1:15">
      <c r="A26" s="34">
        <f t="shared" si="1"/>
        <v>21</v>
      </c>
      <c r="B26" s="57" t="s">
        <v>86</v>
      </c>
      <c r="C26" s="46" t="s">
        <v>88</v>
      </c>
      <c r="D26" s="59" t="s">
        <v>65</v>
      </c>
      <c r="E26" s="44" t="s">
        <v>24</v>
      </c>
      <c r="F26" s="30">
        <v>1</v>
      </c>
      <c r="G26" s="57" t="s">
        <v>72</v>
      </c>
      <c r="H26" s="29" t="s">
        <v>26</v>
      </c>
      <c r="I26" s="46" t="s">
        <v>89</v>
      </c>
      <c r="J26" s="30">
        <v>1</v>
      </c>
      <c r="K26" s="30">
        <v>1</v>
      </c>
      <c r="L26" s="57"/>
      <c r="M26" s="44" t="s">
        <v>24</v>
      </c>
      <c r="N26" s="16">
        <f t="shared" si="0"/>
        <v>0</v>
      </c>
      <c r="O26" s="30" t="s">
        <v>74</v>
      </c>
    </row>
    <row r="27" spans="1:15">
      <c r="A27" s="34">
        <f t="shared" si="1"/>
        <v>22</v>
      </c>
      <c r="B27" s="57" t="s">
        <v>90</v>
      </c>
      <c r="C27" s="46" t="s">
        <v>91</v>
      </c>
      <c r="D27" s="59" t="s">
        <v>65</v>
      </c>
      <c r="E27" s="44" t="s">
        <v>24</v>
      </c>
      <c r="F27" s="30">
        <v>1</v>
      </c>
      <c r="G27" s="57" t="s">
        <v>92</v>
      </c>
      <c r="H27" s="29" t="s">
        <v>26</v>
      </c>
      <c r="I27" s="46" t="s">
        <v>51</v>
      </c>
      <c r="J27" s="30">
        <v>1</v>
      </c>
      <c r="K27" s="30">
        <v>1</v>
      </c>
      <c r="L27" s="57" t="s">
        <v>93</v>
      </c>
      <c r="M27" s="44" t="s">
        <v>24</v>
      </c>
      <c r="N27" s="16">
        <f t="shared" si="0"/>
        <v>0</v>
      </c>
      <c r="O27" s="30"/>
    </row>
    <row r="28" spans="1:15">
      <c r="A28" s="34">
        <f t="shared" si="1"/>
        <v>23</v>
      </c>
      <c r="B28" s="57" t="s">
        <v>90</v>
      </c>
      <c r="C28" s="46" t="s">
        <v>94</v>
      </c>
      <c r="D28" s="59" t="s">
        <v>65</v>
      </c>
      <c r="E28" s="44" t="s">
        <v>24</v>
      </c>
      <c r="F28" s="30">
        <v>1</v>
      </c>
      <c r="G28" s="57" t="s">
        <v>72</v>
      </c>
      <c r="H28" s="29" t="s">
        <v>26</v>
      </c>
      <c r="I28" s="46" t="s">
        <v>95</v>
      </c>
      <c r="J28" s="30">
        <v>1</v>
      </c>
      <c r="K28" s="30">
        <v>1</v>
      </c>
      <c r="L28" s="57"/>
      <c r="M28" s="44" t="s">
        <v>24</v>
      </c>
      <c r="N28" s="16">
        <f t="shared" si="0"/>
        <v>0</v>
      </c>
      <c r="O28" s="30" t="s">
        <v>74</v>
      </c>
    </row>
    <row r="29" spans="1:15">
      <c r="A29" s="34">
        <f t="shared" si="1"/>
        <v>24</v>
      </c>
      <c r="B29" s="57" t="s">
        <v>96</v>
      </c>
      <c r="C29" s="46" t="s">
        <v>97</v>
      </c>
      <c r="D29" s="59" t="s">
        <v>65</v>
      </c>
      <c r="E29" s="44" t="s">
        <v>24</v>
      </c>
      <c r="F29" s="30">
        <v>1</v>
      </c>
      <c r="G29" s="57" t="s">
        <v>92</v>
      </c>
      <c r="H29" s="29" t="s">
        <v>26</v>
      </c>
      <c r="I29" s="46" t="s">
        <v>98</v>
      </c>
      <c r="J29" s="30">
        <v>1</v>
      </c>
      <c r="K29" s="30">
        <v>1</v>
      </c>
      <c r="L29" s="57" t="s">
        <v>93</v>
      </c>
      <c r="M29" s="44" t="s">
        <v>24</v>
      </c>
      <c r="N29" s="16">
        <f t="shared" si="0"/>
        <v>0</v>
      </c>
      <c r="O29" s="30"/>
    </row>
    <row r="30" spans="1:15">
      <c r="A30" s="34">
        <f t="shared" si="1"/>
        <v>25</v>
      </c>
      <c r="B30" s="57" t="s">
        <v>93</v>
      </c>
      <c r="C30" s="46" t="s">
        <v>99</v>
      </c>
      <c r="D30" s="59" t="s">
        <v>100</v>
      </c>
      <c r="E30" s="44" t="s">
        <v>24</v>
      </c>
      <c r="F30" s="30">
        <v>1</v>
      </c>
      <c r="G30" s="57" t="s">
        <v>72</v>
      </c>
      <c r="H30" s="29" t="s">
        <v>26</v>
      </c>
      <c r="I30" s="46" t="s">
        <v>101</v>
      </c>
      <c r="J30" s="30">
        <v>1</v>
      </c>
      <c r="K30" s="30">
        <v>1</v>
      </c>
      <c r="L30" s="57"/>
      <c r="M30" s="44" t="s">
        <v>24</v>
      </c>
      <c r="N30" s="16">
        <f t="shared" si="0"/>
        <v>0</v>
      </c>
      <c r="O30" s="30" t="s">
        <v>74</v>
      </c>
    </row>
    <row r="31" spans="1:15">
      <c r="A31" s="34">
        <f t="shared" si="1"/>
        <v>26</v>
      </c>
      <c r="B31" s="57" t="s">
        <v>93</v>
      </c>
      <c r="C31" s="42" t="s">
        <v>102</v>
      </c>
      <c r="D31" s="59" t="s">
        <v>65</v>
      </c>
      <c r="E31" s="44" t="s">
        <v>24</v>
      </c>
      <c r="F31" s="30">
        <v>1</v>
      </c>
      <c r="G31" s="57" t="s">
        <v>72</v>
      </c>
      <c r="H31" s="29" t="s">
        <v>26</v>
      </c>
      <c r="I31" s="46" t="s">
        <v>103</v>
      </c>
      <c r="J31" s="30">
        <v>1</v>
      </c>
      <c r="K31" s="30">
        <v>1</v>
      </c>
      <c r="L31" s="57"/>
      <c r="M31" s="44" t="s">
        <v>24</v>
      </c>
      <c r="N31" s="16">
        <f t="shared" si="0"/>
        <v>0</v>
      </c>
      <c r="O31" s="30" t="s">
        <v>74</v>
      </c>
    </row>
    <row r="32" spans="1:15">
      <c r="A32" s="34">
        <f t="shared" si="1"/>
        <v>27</v>
      </c>
      <c r="B32" s="57" t="s">
        <v>93</v>
      </c>
      <c r="C32" s="46" t="s">
        <v>104</v>
      </c>
      <c r="D32" s="59" t="s">
        <v>65</v>
      </c>
      <c r="E32" s="44" t="s">
        <v>24</v>
      </c>
      <c r="F32" s="30">
        <v>1</v>
      </c>
      <c r="G32" s="57" t="s">
        <v>72</v>
      </c>
      <c r="H32" s="29" t="s">
        <v>26</v>
      </c>
      <c r="I32" s="46" t="s">
        <v>105</v>
      </c>
      <c r="J32" s="30">
        <v>1</v>
      </c>
      <c r="K32" s="30">
        <v>1</v>
      </c>
      <c r="L32" s="57"/>
      <c r="M32" s="44" t="s">
        <v>24</v>
      </c>
      <c r="N32" s="16">
        <f t="shared" si="0"/>
        <v>0</v>
      </c>
      <c r="O32" s="30" t="s">
        <v>74</v>
      </c>
    </row>
    <row r="33" spans="1:15">
      <c r="A33" s="34">
        <f t="shared" si="1"/>
        <v>28</v>
      </c>
      <c r="B33" s="56" t="s">
        <v>106</v>
      </c>
      <c r="C33" s="42" t="s">
        <v>53</v>
      </c>
      <c r="D33" s="44" t="s">
        <v>23</v>
      </c>
      <c r="E33" s="44" t="s">
        <v>24</v>
      </c>
      <c r="F33" s="30">
        <v>1</v>
      </c>
      <c r="G33" s="56" t="s">
        <v>107</v>
      </c>
      <c r="H33" s="29" t="s">
        <v>26</v>
      </c>
      <c r="I33" s="46" t="s">
        <v>54</v>
      </c>
      <c r="J33" s="30">
        <v>1</v>
      </c>
      <c r="K33" s="30">
        <v>1</v>
      </c>
      <c r="L33" s="56" t="s">
        <v>92</v>
      </c>
      <c r="M33" s="44" t="s">
        <v>24</v>
      </c>
      <c r="N33" s="16">
        <f t="shared" si="0"/>
        <v>0</v>
      </c>
      <c r="O33" s="30"/>
    </row>
    <row r="34" spans="1:15">
      <c r="A34" s="34">
        <f t="shared" si="1"/>
        <v>29</v>
      </c>
      <c r="B34" s="56" t="s">
        <v>106</v>
      </c>
      <c r="C34" s="46" t="s">
        <v>22</v>
      </c>
      <c r="D34" s="44" t="s">
        <v>23</v>
      </c>
      <c r="E34" s="44" t="s">
        <v>24</v>
      </c>
      <c r="F34" s="30">
        <v>1</v>
      </c>
      <c r="G34" s="56" t="s">
        <v>107</v>
      </c>
      <c r="H34" s="29" t="s">
        <v>26</v>
      </c>
      <c r="I34" s="46" t="s">
        <v>108</v>
      </c>
      <c r="J34" s="30">
        <v>1</v>
      </c>
      <c r="K34" s="30">
        <v>1</v>
      </c>
      <c r="L34" s="56" t="s">
        <v>92</v>
      </c>
      <c r="M34" s="44" t="s">
        <v>24</v>
      </c>
      <c r="N34" s="16">
        <f t="shared" si="0"/>
        <v>0</v>
      </c>
      <c r="O34" s="30"/>
    </row>
    <row r="35" spans="1:15">
      <c r="A35" s="34">
        <f t="shared" si="1"/>
        <v>30</v>
      </c>
      <c r="B35" s="57" t="s">
        <v>109</v>
      </c>
      <c r="C35" s="46" t="s">
        <v>110</v>
      </c>
      <c r="D35" s="59" t="s">
        <v>37</v>
      </c>
      <c r="E35" s="44" t="s">
        <v>24</v>
      </c>
      <c r="F35" s="30">
        <v>1</v>
      </c>
      <c r="G35" s="57" t="s">
        <v>111</v>
      </c>
      <c r="H35" s="29" t="s">
        <v>26</v>
      </c>
      <c r="I35" s="46" t="s">
        <v>112</v>
      </c>
      <c r="J35" s="30">
        <v>1</v>
      </c>
      <c r="K35" s="30">
        <v>1</v>
      </c>
      <c r="L35" s="57" t="s">
        <v>113</v>
      </c>
      <c r="M35" s="44" t="s">
        <v>24</v>
      </c>
      <c r="N35" s="16">
        <f t="shared" si="0"/>
        <v>0</v>
      </c>
      <c r="O35" s="30"/>
    </row>
    <row r="36" spans="1:15">
      <c r="A36" s="34">
        <f t="shared" si="1"/>
        <v>31</v>
      </c>
      <c r="B36" s="57" t="s">
        <v>114</v>
      </c>
      <c r="C36" s="46" t="s">
        <v>115</v>
      </c>
      <c r="D36" s="44" t="s">
        <v>23</v>
      </c>
      <c r="E36" s="44" t="s">
        <v>24</v>
      </c>
      <c r="F36" s="30">
        <v>1</v>
      </c>
      <c r="G36" s="57" t="s">
        <v>116</v>
      </c>
      <c r="H36" s="29" t="s">
        <v>26</v>
      </c>
      <c r="I36" s="46" t="s">
        <v>117</v>
      </c>
      <c r="J36" s="30">
        <v>1</v>
      </c>
      <c r="K36" s="30">
        <v>1</v>
      </c>
      <c r="L36" s="57" t="s">
        <v>113</v>
      </c>
      <c r="M36" s="44" t="s">
        <v>24</v>
      </c>
      <c r="N36" s="16">
        <f t="shared" si="0"/>
        <v>0</v>
      </c>
      <c r="O36" s="30"/>
    </row>
    <row r="37" spans="1:15">
      <c r="A37" s="34">
        <f t="shared" si="1"/>
        <v>32</v>
      </c>
      <c r="B37" s="57" t="s">
        <v>114</v>
      </c>
      <c r="C37" s="46" t="s">
        <v>94</v>
      </c>
      <c r="D37" s="59" t="s">
        <v>65</v>
      </c>
      <c r="E37" s="44" t="s">
        <v>24</v>
      </c>
      <c r="F37" s="30">
        <v>1</v>
      </c>
      <c r="G37" s="57" t="s">
        <v>72</v>
      </c>
      <c r="H37" s="29" t="s">
        <v>26</v>
      </c>
      <c r="I37" s="46" t="s">
        <v>118</v>
      </c>
      <c r="J37" s="30">
        <v>1</v>
      </c>
      <c r="K37" s="30">
        <v>1</v>
      </c>
      <c r="L37" s="57"/>
      <c r="M37" s="44" t="s">
        <v>24</v>
      </c>
      <c r="N37" s="16">
        <f t="shared" si="0"/>
        <v>0</v>
      </c>
      <c r="O37" s="30" t="s">
        <v>74</v>
      </c>
    </row>
    <row r="38" spans="1:15">
      <c r="A38" s="34">
        <f t="shared" si="1"/>
        <v>33</v>
      </c>
      <c r="B38" s="57" t="s">
        <v>114</v>
      </c>
      <c r="C38" s="48" t="s">
        <v>83</v>
      </c>
      <c r="D38" s="59" t="s">
        <v>65</v>
      </c>
      <c r="E38" s="44" t="s">
        <v>24</v>
      </c>
      <c r="F38" s="30">
        <v>1</v>
      </c>
      <c r="G38" s="57" t="s">
        <v>72</v>
      </c>
      <c r="H38" s="29" t="s">
        <v>26</v>
      </c>
      <c r="I38" s="46" t="s">
        <v>117</v>
      </c>
      <c r="J38" s="30">
        <v>1</v>
      </c>
      <c r="K38" s="30">
        <v>1</v>
      </c>
      <c r="L38" s="57"/>
      <c r="M38" s="44" t="s">
        <v>24</v>
      </c>
      <c r="N38" s="16">
        <f t="shared" si="0"/>
        <v>0</v>
      </c>
      <c r="O38" s="30" t="s">
        <v>74</v>
      </c>
    </row>
    <row r="39" spans="1:15" ht="30">
      <c r="A39" s="34">
        <f t="shared" si="1"/>
        <v>34</v>
      </c>
      <c r="B39" s="57" t="s">
        <v>114</v>
      </c>
      <c r="C39" s="46" t="s">
        <v>119</v>
      </c>
      <c r="D39" s="59" t="s">
        <v>120</v>
      </c>
      <c r="E39" s="44" t="s">
        <v>24</v>
      </c>
      <c r="F39" s="30">
        <v>1</v>
      </c>
      <c r="G39" s="57" t="s">
        <v>121</v>
      </c>
      <c r="H39" s="29" t="s">
        <v>26</v>
      </c>
      <c r="I39" s="46" t="s">
        <v>51</v>
      </c>
      <c r="J39" s="30">
        <v>1</v>
      </c>
      <c r="K39" s="30">
        <v>1</v>
      </c>
      <c r="L39" s="57" t="s">
        <v>111</v>
      </c>
      <c r="M39" s="44" t="s">
        <v>24</v>
      </c>
      <c r="N39" s="16">
        <f t="shared" si="0"/>
        <v>0</v>
      </c>
      <c r="O39" s="30"/>
    </row>
    <row r="40" spans="1:15">
      <c r="A40" s="34">
        <f t="shared" si="1"/>
        <v>35</v>
      </c>
      <c r="B40" s="57" t="s">
        <v>114</v>
      </c>
      <c r="C40" s="46" t="s">
        <v>122</v>
      </c>
      <c r="D40" s="59" t="s">
        <v>123</v>
      </c>
      <c r="E40" s="44" t="s">
        <v>24</v>
      </c>
      <c r="F40" s="30">
        <v>1</v>
      </c>
      <c r="G40" s="57" t="s">
        <v>124</v>
      </c>
      <c r="H40" s="29" t="s">
        <v>26</v>
      </c>
      <c r="I40" s="48" t="s">
        <v>125</v>
      </c>
      <c r="J40" s="30">
        <v>1</v>
      </c>
      <c r="K40" s="30">
        <v>1</v>
      </c>
      <c r="L40" s="57"/>
      <c r="M40" s="44" t="s">
        <v>24</v>
      </c>
      <c r="N40" s="16">
        <f t="shared" si="0"/>
        <v>0</v>
      </c>
      <c r="O40" s="30" t="s">
        <v>74</v>
      </c>
    </row>
    <row r="41" spans="1:15">
      <c r="A41" s="34">
        <f t="shared" si="1"/>
        <v>36</v>
      </c>
      <c r="B41" s="57" t="s">
        <v>114</v>
      </c>
      <c r="C41" s="46" t="s">
        <v>126</v>
      </c>
      <c r="D41" s="11" t="s">
        <v>127</v>
      </c>
      <c r="E41" s="44" t="s">
        <v>24</v>
      </c>
      <c r="F41" s="30">
        <v>1</v>
      </c>
      <c r="G41" s="57" t="s">
        <v>128</v>
      </c>
      <c r="H41" s="29" t="s">
        <v>26</v>
      </c>
      <c r="I41" s="62" t="s">
        <v>129</v>
      </c>
      <c r="J41" s="30">
        <v>1</v>
      </c>
      <c r="K41" s="30">
        <v>1</v>
      </c>
      <c r="L41" s="31">
        <v>45944</v>
      </c>
      <c r="M41" s="44" t="s">
        <v>24</v>
      </c>
      <c r="N41" s="16">
        <f t="shared" si="0"/>
        <v>0</v>
      </c>
      <c r="O41" s="30"/>
    </row>
    <row r="42" spans="1:15">
      <c r="A42" s="34">
        <f t="shared" si="1"/>
        <v>37</v>
      </c>
      <c r="B42" s="56">
        <v>45948</v>
      </c>
      <c r="C42" s="46" t="s">
        <v>130</v>
      </c>
      <c r="D42" s="11" t="s">
        <v>131</v>
      </c>
      <c r="E42" s="44" t="s">
        <v>24</v>
      </c>
      <c r="F42" s="30">
        <v>1</v>
      </c>
      <c r="G42" s="56">
        <v>45956</v>
      </c>
      <c r="H42" s="29" t="s">
        <v>26</v>
      </c>
      <c r="I42" s="48" t="s">
        <v>132</v>
      </c>
      <c r="J42" s="30">
        <v>1</v>
      </c>
      <c r="K42" s="30">
        <v>1</v>
      </c>
      <c r="L42" s="56">
        <v>45954</v>
      </c>
      <c r="M42" s="44" t="s">
        <v>24</v>
      </c>
      <c r="N42" s="16">
        <f t="shared" ref="N42" si="2">K42-J42</f>
        <v>0</v>
      </c>
      <c r="O42" s="30"/>
    </row>
    <row r="43" spans="1:15">
      <c r="A43" s="34">
        <f t="shared" si="1"/>
        <v>38</v>
      </c>
      <c r="B43" s="56">
        <v>45948</v>
      </c>
      <c r="C43" s="46" t="s">
        <v>133</v>
      </c>
      <c r="D43" s="59" t="s">
        <v>134</v>
      </c>
      <c r="E43" s="44" t="s">
        <v>24</v>
      </c>
      <c r="F43" s="30">
        <v>1</v>
      </c>
      <c r="G43" s="56">
        <v>45957</v>
      </c>
      <c r="H43" s="29" t="s">
        <v>26</v>
      </c>
      <c r="I43" s="46" t="s">
        <v>135</v>
      </c>
      <c r="J43" s="30">
        <v>1</v>
      </c>
      <c r="K43" s="30">
        <v>1</v>
      </c>
      <c r="L43" s="56">
        <v>45955</v>
      </c>
      <c r="M43" s="44" t="s">
        <v>24</v>
      </c>
      <c r="N43" s="16">
        <f t="shared" ref="N43" si="3">K43-J43</f>
        <v>0</v>
      </c>
      <c r="O43" s="30"/>
    </row>
    <row r="44" spans="1:15">
      <c r="A44" s="34"/>
      <c r="B44" s="56"/>
      <c r="C44" s="43"/>
      <c r="D44" s="59"/>
      <c r="E44" s="44"/>
      <c r="F44" s="30"/>
      <c r="G44" s="50"/>
      <c r="H44" s="29"/>
      <c r="I44" s="44"/>
      <c r="J44" s="30"/>
      <c r="K44" s="16"/>
      <c r="L44" s="32"/>
      <c r="M44" s="16"/>
      <c r="N44" s="16"/>
      <c r="O44" s="30"/>
    </row>
    <row r="45" spans="1:15">
      <c r="A45" s="61"/>
      <c r="B45" s="33"/>
      <c r="C45" s="43"/>
      <c r="D45" s="59"/>
      <c r="E45" s="44"/>
      <c r="F45" s="30"/>
      <c r="G45" s="50"/>
      <c r="H45" s="51"/>
      <c r="I45" s="44"/>
      <c r="J45" s="30"/>
      <c r="K45" s="16"/>
      <c r="L45" s="31"/>
      <c r="M45" s="16"/>
      <c r="N45" s="16"/>
      <c r="O45" s="30"/>
    </row>
    <row r="46" spans="1:15">
      <c r="A46" s="63" t="s">
        <v>136</v>
      </c>
      <c r="B46" s="63"/>
      <c r="C46" s="63"/>
      <c r="D46" s="63"/>
      <c r="E46" s="63"/>
      <c r="F46" s="63"/>
      <c r="G46" s="63"/>
      <c r="H46" s="63"/>
      <c r="I46" s="66" t="s">
        <v>137</v>
      </c>
      <c r="J46" s="66"/>
      <c r="K46" s="65" t="s">
        <v>138</v>
      </c>
      <c r="L46" s="65"/>
      <c r="M46" s="65"/>
      <c r="N46" s="65"/>
      <c r="O46" s="65"/>
    </row>
    <row r="47" spans="1:15">
      <c r="A47" s="63"/>
      <c r="B47" s="63"/>
      <c r="C47" s="63"/>
      <c r="D47" s="63"/>
      <c r="E47" s="63"/>
      <c r="F47" s="63"/>
      <c r="G47" s="63"/>
      <c r="H47" s="63"/>
      <c r="I47" s="66"/>
      <c r="J47" s="66"/>
      <c r="K47" s="65"/>
      <c r="L47" s="65"/>
      <c r="M47" s="65"/>
      <c r="N47" s="65"/>
      <c r="O47" s="65"/>
    </row>
    <row r="48" spans="1:15">
      <c r="A48" s="63" t="s">
        <v>139</v>
      </c>
      <c r="B48" s="63"/>
      <c r="C48" s="63"/>
      <c r="D48" s="63"/>
      <c r="E48" s="63"/>
      <c r="F48" s="63"/>
      <c r="G48" s="63"/>
      <c r="H48" s="63"/>
      <c r="I48" s="66" t="s">
        <v>140</v>
      </c>
      <c r="J48" s="66"/>
      <c r="K48" s="66" t="s">
        <v>141</v>
      </c>
      <c r="L48" s="66"/>
      <c r="M48" s="66"/>
      <c r="N48" s="66"/>
      <c r="O48" s="66"/>
    </row>
    <row r="49" spans="1:15">
      <c r="A49" s="63"/>
      <c r="B49" s="63"/>
      <c r="C49" s="63"/>
      <c r="D49" s="63"/>
      <c r="E49" s="63"/>
      <c r="F49" s="63"/>
      <c r="G49" s="63"/>
      <c r="H49" s="63"/>
      <c r="I49" s="66"/>
      <c r="J49" s="66"/>
      <c r="K49" s="66"/>
      <c r="L49" s="66"/>
      <c r="M49" s="66"/>
      <c r="N49" s="66"/>
      <c r="O49" s="66"/>
    </row>
  </sheetData>
  <autoFilter ref="A5:O43" xr:uid="{00000000-0001-0000-0000-000000000000}"/>
  <mergeCells count="10">
    <mergeCell ref="A48:H49"/>
    <mergeCell ref="A1:O1"/>
    <mergeCell ref="A46:H47"/>
    <mergeCell ref="K46:O47"/>
    <mergeCell ref="K48:O49"/>
    <mergeCell ref="I46:J47"/>
    <mergeCell ref="I48:J49"/>
    <mergeCell ref="D2:O2"/>
    <mergeCell ref="D3:O3"/>
    <mergeCell ref="D4:O4"/>
  </mergeCells>
  <phoneticPr fontId="13" type="noConversion"/>
  <conditionalFormatting sqref="H6:H43">
    <cfRule type="cellIs" dxfId="0" priority="41" operator="greaterThan">
      <formula>$H$6</formula>
    </cfRule>
    <cfRule type="colorScale" priority="42">
      <colorScale>
        <cfvo type="min"/>
        <cfvo type="max"/>
        <color rgb="FF00FFFF"/>
        <color rgb="FF00FFFF"/>
      </colorScale>
    </cfRule>
  </conditionalFormatting>
  <printOptions horizontalCentered="1"/>
  <pageMargins left="0.31496062992125984" right="0.31496062992125984" top="0.35433070866141736" bottom="0.35433070866141736" header="0.11811023622047245" footer="0.11811023622047245"/>
  <pageSetup paperSize="9" scale="53" orientation="landscape" r:id="rId1"/>
  <headerFooter>
    <oddHeader>&amp;RTemplate 009</oddHeader>
    <oddFooter>&amp;LFile.Material Tracker&amp;CPage&amp;Pof&amp;P&amp;R&amp;D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zoomScale="80" zoomScaleNormal="80" workbookViewId="0">
      <selection activeCell="C5" sqref="C5"/>
    </sheetView>
  </sheetViews>
  <sheetFormatPr defaultRowHeight="15"/>
  <cols>
    <col min="2" max="2" width="14.7109375" bestFit="1" customWidth="1"/>
    <col min="3" max="3" width="32.42578125" bestFit="1" customWidth="1"/>
    <col min="4" max="4" width="18.140625" bestFit="1" customWidth="1"/>
    <col min="6" max="6" width="11.140625" bestFit="1" customWidth="1"/>
    <col min="7" max="7" width="13" customWidth="1"/>
    <col min="8" max="8" width="15.7109375" bestFit="1" customWidth="1"/>
    <col min="9" max="9" width="22.42578125" bestFit="1" customWidth="1"/>
    <col min="10" max="10" width="11.85546875" bestFit="1" customWidth="1"/>
    <col min="11" max="12" width="14.140625" bestFit="1" customWidth="1"/>
    <col min="13" max="13" width="8.5703125" bestFit="1" customWidth="1"/>
    <col min="14" max="14" width="12.85546875" bestFit="1" customWidth="1"/>
    <col min="15" max="15" width="17.85546875" bestFit="1" customWidth="1"/>
  </cols>
  <sheetData>
    <row r="1" spans="1:15" s="1" customFormat="1" ht="18">
      <c r="A1" s="68" t="s">
        <v>142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s="1" customFormat="1" ht="18">
      <c r="A2" s="68" t="s">
        <v>143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s="1" customFormat="1">
      <c r="A3" s="69" t="s">
        <v>144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1:15" s="1" customFormat="1" ht="44.25" customHeight="1">
      <c r="A4" s="27" t="s">
        <v>7</v>
      </c>
      <c r="B4" s="2" t="s">
        <v>145</v>
      </c>
      <c r="C4" s="27" t="s">
        <v>146</v>
      </c>
      <c r="D4" s="27" t="s">
        <v>10</v>
      </c>
      <c r="E4" s="27" t="s">
        <v>11</v>
      </c>
      <c r="F4" s="3" t="s">
        <v>12</v>
      </c>
      <c r="G4" s="4" t="s">
        <v>147</v>
      </c>
      <c r="H4" s="5" t="s">
        <v>14</v>
      </c>
      <c r="I4" s="5" t="s">
        <v>15</v>
      </c>
      <c r="J4" s="25" t="s">
        <v>16</v>
      </c>
      <c r="K4" s="3" t="s">
        <v>17</v>
      </c>
      <c r="L4" s="3" t="s">
        <v>18</v>
      </c>
      <c r="M4" s="27" t="s">
        <v>11</v>
      </c>
      <c r="N4" s="3" t="s">
        <v>19</v>
      </c>
      <c r="O4" s="3" t="s">
        <v>20</v>
      </c>
    </row>
    <row r="5" spans="1:15" s="1" customFormat="1" ht="30">
      <c r="A5" s="6">
        <v>1</v>
      </c>
      <c r="B5" s="7" t="s">
        <v>148</v>
      </c>
      <c r="C5" s="8" t="s">
        <v>149</v>
      </c>
      <c r="D5" s="9" t="s">
        <v>150</v>
      </c>
      <c r="E5" s="9" t="s">
        <v>151</v>
      </c>
      <c r="F5" s="9">
        <v>500</v>
      </c>
      <c r="G5" s="9" t="s">
        <v>152</v>
      </c>
      <c r="H5" s="18">
        <v>1303201815</v>
      </c>
      <c r="I5" s="9" t="s">
        <v>153</v>
      </c>
      <c r="J5" s="9">
        <v>500</v>
      </c>
      <c r="K5" s="6">
        <v>500</v>
      </c>
      <c r="L5" s="6"/>
      <c r="M5" s="6" t="s">
        <v>151</v>
      </c>
      <c r="N5" s="6">
        <v>0</v>
      </c>
      <c r="O5" s="10" t="s">
        <v>154</v>
      </c>
    </row>
    <row r="6" spans="1:15" s="1" customFormat="1" ht="30">
      <c r="A6" s="6">
        <f t="shared" ref="A6:A11" si="0">A5+1</f>
        <v>2</v>
      </c>
      <c r="B6" s="7" t="s">
        <v>155</v>
      </c>
      <c r="C6" s="8" t="s">
        <v>149</v>
      </c>
      <c r="D6" s="20"/>
      <c r="E6" s="9" t="s">
        <v>151</v>
      </c>
      <c r="F6" s="9">
        <v>400</v>
      </c>
      <c r="G6" s="9" t="s">
        <v>156</v>
      </c>
      <c r="H6" s="18">
        <v>1503201801</v>
      </c>
      <c r="I6" s="9" t="s">
        <v>153</v>
      </c>
      <c r="J6" s="9">
        <v>400</v>
      </c>
      <c r="K6" s="6">
        <v>400</v>
      </c>
      <c r="L6" s="6"/>
      <c r="M6" s="6" t="s">
        <v>151</v>
      </c>
      <c r="N6" s="6">
        <v>0</v>
      </c>
      <c r="O6" s="10" t="s">
        <v>154</v>
      </c>
    </row>
    <row r="7" spans="1:15" s="1" customFormat="1" ht="30">
      <c r="A7" s="6">
        <f t="shared" si="0"/>
        <v>3</v>
      </c>
      <c r="B7" s="7" t="s">
        <v>157</v>
      </c>
      <c r="C7" s="8" t="s">
        <v>158</v>
      </c>
      <c r="D7" s="9" t="s">
        <v>159</v>
      </c>
      <c r="E7" s="9" t="s">
        <v>151</v>
      </c>
      <c r="F7" s="9">
        <v>1000</v>
      </c>
      <c r="G7" s="9" t="s">
        <v>160</v>
      </c>
      <c r="H7" s="18">
        <v>1804201813</v>
      </c>
      <c r="I7" s="10" t="s">
        <v>161</v>
      </c>
      <c r="J7" s="10">
        <v>900</v>
      </c>
      <c r="K7" s="6">
        <v>900</v>
      </c>
      <c r="L7" s="24">
        <v>43240</v>
      </c>
      <c r="M7" s="6" t="s">
        <v>151</v>
      </c>
      <c r="N7" s="6">
        <v>100</v>
      </c>
      <c r="O7" s="10" t="s">
        <v>162</v>
      </c>
    </row>
    <row r="8" spans="1:15" s="1" customFormat="1" ht="60">
      <c r="A8" s="12">
        <f t="shared" si="0"/>
        <v>4</v>
      </c>
      <c r="B8" s="13" t="s">
        <v>157</v>
      </c>
      <c r="C8" s="14" t="s">
        <v>149</v>
      </c>
      <c r="D8" s="15" t="s">
        <v>163</v>
      </c>
      <c r="E8" s="15" t="s">
        <v>151</v>
      </c>
      <c r="F8" s="15">
        <v>2000</v>
      </c>
      <c r="G8" s="15" t="s">
        <v>160</v>
      </c>
      <c r="H8" s="19">
        <v>1804201814</v>
      </c>
      <c r="I8" s="21" t="s">
        <v>161</v>
      </c>
      <c r="J8" s="21">
        <v>1600</v>
      </c>
      <c r="K8" s="12">
        <v>780</v>
      </c>
      <c r="L8" s="23">
        <v>43249</v>
      </c>
      <c r="M8" s="16" t="s">
        <v>151</v>
      </c>
      <c r="N8" s="16">
        <v>440</v>
      </c>
      <c r="O8" s="17" t="s">
        <v>164</v>
      </c>
    </row>
    <row r="9" spans="1:15" s="1" customFormat="1" ht="30">
      <c r="A9" s="6">
        <f t="shared" si="0"/>
        <v>5</v>
      </c>
      <c r="B9" s="7"/>
      <c r="C9" s="8" t="s">
        <v>149</v>
      </c>
      <c r="D9" s="9"/>
      <c r="E9" s="9"/>
      <c r="F9" s="9"/>
      <c r="G9" s="9"/>
      <c r="H9" s="18"/>
      <c r="I9" s="10"/>
      <c r="J9" s="26"/>
      <c r="K9" s="6">
        <v>780</v>
      </c>
      <c r="L9" s="24">
        <v>43266</v>
      </c>
      <c r="M9" s="6">
        <v>0</v>
      </c>
      <c r="N9" s="6"/>
      <c r="O9" s="10" t="s">
        <v>154</v>
      </c>
    </row>
    <row r="10" spans="1:15" s="1" customFormat="1" ht="60">
      <c r="A10" s="12">
        <f t="shared" si="0"/>
        <v>6</v>
      </c>
      <c r="B10" s="13" t="s">
        <v>157</v>
      </c>
      <c r="C10" s="14" t="s">
        <v>149</v>
      </c>
      <c r="D10" s="15" t="s">
        <v>165</v>
      </c>
      <c r="E10" s="15" t="s">
        <v>151</v>
      </c>
      <c r="F10" s="15">
        <v>1500</v>
      </c>
      <c r="G10" s="15" t="s">
        <v>160</v>
      </c>
      <c r="H10" s="19">
        <v>1804201813</v>
      </c>
      <c r="I10" s="21" t="s">
        <v>161</v>
      </c>
      <c r="J10" s="21">
        <v>1500</v>
      </c>
      <c r="K10" s="12">
        <v>500</v>
      </c>
      <c r="L10" s="23">
        <v>43245</v>
      </c>
      <c r="M10" s="16" t="s">
        <v>151</v>
      </c>
      <c r="N10" s="16">
        <v>1000</v>
      </c>
      <c r="O10" s="17" t="s">
        <v>164</v>
      </c>
    </row>
    <row r="11" spans="1:15" s="1" customFormat="1" ht="60">
      <c r="A11" s="12">
        <f t="shared" si="0"/>
        <v>7</v>
      </c>
      <c r="B11" s="13" t="s">
        <v>166</v>
      </c>
      <c r="C11" s="15" t="s">
        <v>149</v>
      </c>
      <c r="D11" s="15" t="s">
        <v>163</v>
      </c>
      <c r="E11" s="15" t="s">
        <v>151</v>
      </c>
      <c r="F11" s="15">
        <v>800</v>
      </c>
      <c r="G11" s="15" t="s">
        <v>167</v>
      </c>
      <c r="H11" s="19">
        <v>2205201804</v>
      </c>
      <c r="I11" s="21" t="s">
        <v>161</v>
      </c>
      <c r="J11" s="21">
        <v>800</v>
      </c>
      <c r="K11" s="12"/>
      <c r="L11" s="12"/>
      <c r="M11" s="16" t="s">
        <v>151</v>
      </c>
      <c r="N11" s="16">
        <v>800</v>
      </c>
      <c r="O11" s="17" t="s">
        <v>164</v>
      </c>
    </row>
    <row r="12" spans="1:15" s="1" customFormat="1" ht="30">
      <c r="A12" s="12">
        <f t="shared" ref="A12:A15" si="1">A11+1</f>
        <v>8</v>
      </c>
      <c r="B12" s="13"/>
      <c r="C12" s="15" t="s">
        <v>149</v>
      </c>
      <c r="D12" s="15"/>
      <c r="E12" s="15" t="s">
        <v>151</v>
      </c>
      <c r="F12" s="15">
        <v>800</v>
      </c>
      <c r="G12" s="15" t="s">
        <v>167</v>
      </c>
      <c r="H12" s="19">
        <v>2205201805</v>
      </c>
      <c r="I12" s="21" t="s">
        <v>153</v>
      </c>
      <c r="J12" s="21">
        <v>800</v>
      </c>
      <c r="K12" s="12"/>
      <c r="L12" s="12"/>
      <c r="M12" s="16" t="s">
        <v>151</v>
      </c>
      <c r="N12" s="16">
        <v>800</v>
      </c>
      <c r="O12" s="17" t="s">
        <v>164</v>
      </c>
    </row>
    <row r="13" spans="1:15" s="1" customFormat="1" ht="30">
      <c r="A13" s="12">
        <f t="shared" si="1"/>
        <v>9</v>
      </c>
      <c r="B13" s="13" t="s">
        <v>166</v>
      </c>
      <c r="C13" s="15" t="s">
        <v>158</v>
      </c>
      <c r="D13" s="15" t="s">
        <v>159</v>
      </c>
      <c r="E13" s="15" t="s">
        <v>151</v>
      </c>
      <c r="F13" s="15">
        <v>900</v>
      </c>
      <c r="G13" s="15" t="s">
        <v>167</v>
      </c>
      <c r="H13" s="19">
        <v>2205201804</v>
      </c>
      <c r="I13" s="21" t="s">
        <v>161</v>
      </c>
      <c r="J13" s="21">
        <v>900</v>
      </c>
      <c r="K13" s="12"/>
      <c r="L13" s="12"/>
      <c r="M13" s="16" t="s">
        <v>151</v>
      </c>
      <c r="N13" s="16">
        <v>900</v>
      </c>
      <c r="O13" s="17" t="s">
        <v>164</v>
      </c>
    </row>
    <row r="14" spans="1:15" s="1" customFormat="1" ht="60">
      <c r="A14" s="12">
        <f t="shared" si="1"/>
        <v>10</v>
      </c>
      <c r="B14" s="13" t="s">
        <v>166</v>
      </c>
      <c r="C14" s="15" t="s">
        <v>149</v>
      </c>
      <c r="D14" s="15" t="s">
        <v>165</v>
      </c>
      <c r="E14" s="15" t="s">
        <v>151</v>
      </c>
      <c r="F14" s="15">
        <v>500</v>
      </c>
      <c r="G14" s="15" t="s">
        <v>167</v>
      </c>
      <c r="H14" s="19">
        <v>2205201804</v>
      </c>
      <c r="I14" s="21" t="s">
        <v>161</v>
      </c>
      <c r="J14" s="21">
        <v>500</v>
      </c>
      <c r="K14" s="12"/>
      <c r="L14" s="12"/>
      <c r="M14" s="16" t="s">
        <v>151</v>
      </c>
      <c r="N14" s="16">
        <v>500</v>
      </c>
      <c r="O14" s="17" t="s">
        <v>164</v>
      </c>
    </row>
    <row r="15" spans="1:15" s="1" customFormat="1" ht="30">
      <c r="A15" s="12">
        <f t="shared" si="1"/>
        <v>11</v>
      </c>
      <c r="B15" s="13"/>
      <c r="C15" s="15" t="s">
        <v>149</v>
      </c>
      <c r="D15" s="15"/>
      <c r="E15" s="15" t="s">
        <v>151</v>
      </c>
      <c r="F15" s="15">
        <v>1000</v>
      </c>
      <c r="G15" s="15" t="s">
        <v>167</v>
      </c>
      <c r="H15" s="19">
        <v>2205201805</v>
      </c>
      <c r="I15" s="21" t="s">
        <v>153</v>
      </c>
      <c r="J15" s="21">
        <v>1000</v>
      </c>
      <c r="K15" s="12"/>
      <c r="L15" s="12"/>
      <c r="M15" s="16" t="s">
        <v>151</v>
      </c>
      <c r="N15" s="16">
        <v>1000</v>
      </c>
      <c r="O15" s="17" t="s">
        <v>164</v>
      </c>
    </row>
  </sheetData>
  <mergeCells count="3">
    <mergeCell ref="A1:O1"/>
    <mergeCell ref="A2:O2"/>
    <mergeCell ref="A3:O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sadham hussain</dc:creator>
  <cp:keywords/>
  <dc:description/>
  <cp:lastModifiedBy>Surendran Palanisamy</cp:lastModifiedBy>
  <cp:revision/>
  <dcterms:created xsi:type="dcterms:W3CDTF">2018-04-14T10:54:45Z</dcterms:created>
  <dcterms:modified xsi:type="dcterms:W3CDTF">2025-10-27T03:26:38Z</dcterms:modified>
  <cp:category/>
  <cp:contentStatus/>
</cp:coreProperties>
</file>